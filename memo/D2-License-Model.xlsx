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A2332"/>
      <sz val="16"/>
    </font>
    <font>
      <name val="Arial"/>
      <i val="1"/>
      <color rgb="005D6E77"/>
      <sz val="10"/>
    </font>
    <font>
      <name val="Arial"/>
      <b val="1"/>
      <color rgb="001A2332"/>
      <sz val="12"/>
    </font>
    <font>
      <name val="Arial"/>
      <color rgb="001A2332"/>
      <sz val="11"/>
    </font>
    <font>
      <name val="Arial"/>
      <color rgb="00008000"/>
      <sz val="11"/>
    </font>
    <font>
      <name val="Arial"/>
      <b val="1"/>
      <color rgb="00FFFFFF"/>
      <sz val="11"/>
    </font>
    <font>
      <name val="Arial"/>
      <b val="1"/>
      <color rgb="000000FF"/>
      <sz val="11"/>
    </font>
    <font>
      <name val="Arial"/>
      <b val="1"/>
      <color rgb="001A2332"/>
      <sz val="11"/>
    </font>
  </fonts>
  <fills count="5">
    <fill>
      <patternFill/>
    </fill>
    <fill>
      <patternFill patternType="gray125"/>
    </fill>
    <fill>
      <patternFill patternType="solid">
        <fgColor rgb="000B6E78"/>
      </patternFill>
    </fill>
    <fill>
      <patternFill patternType="solid">
        <fgColor rgb="00FFFF99"/>
      </patternFill>
    </fill>
    <fill>
      <patternFill patternType="solid">
        <fgColor rgb="00E7EBEC"/>
      </patternFill>
    </fill>
  </fills>
  <borders count="3">
    <border>
      <left/>
      <right/>
      <top/>
      <bottom/>
      <diagonal/>
    </border>
    <border>
      <left style="thin">
        <color rgb="00D6DCDE"/>
      </left>
      <right style="thin">
        <color rgb="00D6DCDE"/>
      </right>
      <top style="medium">
        <color rgb="001A2332"/>
      </top>
      <bottom style="medium">
        <color rgb="001A2332"/>
      </bottom>
    </border>
    <border>
      <left style="thin">
        <color rgb="00D6DCDE"/>
      </left>
      <right style="thin">
        <color rgb="00D6DCDE"/>
      </right>
      <top style="thin">
        <color rgb="00D6DCDE"/>
      </top>
      <bottom style="thin">
        <color rgb="00D6DC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7" fillId="0" borderId="2" applyAlignment="1" pivotButton="0" quotePrefix="0" xfId="0">
      <alignment horizontal="right"/>
    </xf>
    <xf numFmtId="164" fontId="7" fillId="0" borderId="2" pivotButton="0" quotePrefix="0" xfId="0"/>
    <xf numFmtId="165" fontId="7" fillId="3" borderId="2" pivotButton="0" quotePrefix="0" xfId="0"/>
    <xf numFmtId="164" fontId="4" fillId="0" borderId="2" pivotButton="0" quotePrefix="0" xfId="0"/>
    <xf numFmtId="0" fontId="2" fillId="0" borderId="2" applyAlignment="1" pivotButton="0" quotePrefix="0" xfId="0">
      <alignment vertical="top" wrapText="1"/>
    </xf>
    <xf numFmtId="0" fontId="8" fillId="4" borderId="1" pivotButton="0" quotePrefix="0" xfId="0"/>
    <xf numFmtId="3" fontId="8" fillId="4" borderId="1" pivotButton="0" quotePrefix="0" xfId="0"/>
    <xf numFmtId="0" fontId="0" fillId="4" borderId="1" pivotButton="0" quotePrefix="0" xfId="0"/>
    <xf numFmtId="164" fontId="8" fillId="4" borderId="1" pivotButton="0" quotePrefix="0" xfId="0"/>
    <xf numFmtId="164" fontId="8" fillId="0" borderId="0" pivotButton="0" quotePrefix="0" xfId="0"/>
    <xf numFmtId="0" fontId="2" fillId="0" borderId="0" applyAlignment="1" pivotButton="0" quotePrefix="0" xfId="0">
      <alignment vertical="top" wrapText="1"/>
    </xf>
    <xf numFmtId="3" fontId="7" fillId="0" borderId="2" pivotButton="0" quotePrefix="0" xfId="0"/>
    <xf numFmtId="3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Stratirus</author>
  </authors>
  <commentList>
    <comment ref="B8" authorId="0" shapeId="0">
      <text>
        <t>Verified via MS Power Platform pricing page, August 2026. Volume discount to $12 kicks in at 2000+ seats — not applicable at D2's scale.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D2 Build Scheduler — Licensing Cost Model</t>
        </is>
      </c>
    </row>
    <row r="2">
      <c r="A2" s="2" t="inlineStr">
        <is>
          <t>Prepared for D2 Pools · Stratirus · verified pricing as of August 13, 2026</t>
        </is>
      </c>
    </row>
    <row r="4">
      <c r="A4" s="3" t="inlineStr">
        <is>
          <t>How to use</t>
        </is>
      </c>
    </row>
    <row r="5">
      <c r="A5" s="4" t="inlineStr">
        <is>
          <t>Blue cells</t>
        </is>
      </c>
      <c r="B5" s="5" t="inlineStr">
        <is>
          <t>Inputs. Change these to model different scenarios.</t>
        </is>
      </c>
    </row>
    <row r="6">
      <c r="A6" s="4" t="inlineStr">
        <is>
          <t>Yellow fill</t>
        </is>
      </c>
      <c r="B6" s="5" t="inlineStr">
        <is>
          <t>Key assumptions you should verify or override.</t>
        </is>
      </c>
    </row>
    <row r="7">
      <c r="A7" s="4" t="inlineStr">
        <is>
          <t>Black cells</t>
        </is>
      </c>
      <c r="B7" s="5" t="inlineStr">
        <is>
          <t>Calculated. Do not edit — they will recompute.</t>
        </is>
      </c>
    </row>
    <row r="8">
      <c r="A8" s="4" t="inlineStr">
        <is>
          <t>Green text</t>
        </is>
      </c>
      <c r="B8" s="5" t="inlineStr">
        <is>
          <t>Cross-sheet link.</t>
        </is>
      </c>
    </row>
    <row r="9">
      <c r="A9" s="4" t="inlineStr"/>
      <c r="B9" s="5" t="inlineStr"/>
    </row>
    <row r="10">
      <c r="A10" s="4" t="inlineStr">
        <is>
          <t>Baseline sheet</t>
        </is>
      </c>
      <c r="B10" s="5" t="inlineStr">
        <is>
          <t>Editable cost model with user counts and unit prices.</t>
        </is>
      </c>
    </row>
    <row r="11">
      <c r="A11" s="4" t="inlineStr">
        <is>
          <t>Scenarios sheet</t>
        </is>
      </c>
      <c r="B11" s="5" t="inlineStr">
        <is>
          <t>Three side-by-side plans: Current, Scale to 30, Downsize.</t>
        </is>
      </c>
    </row>
    <row r="12">
      <c r="A12" s="4" t="inlineStr">
        <is>
          <t>Sources sheet</t>
        </is>
      </c>
      <c r="B12" s="5" t="inlineStr">
        <is>
          <t>Every price cited with the URL it came from.</t>
        </is>
      </c>
    </row>
    <row r="15">
      <c r="A15" s="3" t="inlineStr">
        <is>
          <t>Bottom line</t>
        </is>
      </c>
    </row>
    <row r="16">
      <c r="A16" s="6" t="inlineStr">
        <is>
          <t>At 21 users the monthly cost is</t>
        </is>
      </c>
      <c r="B16" s="7">
        <f>Baseline!F14</f>
        <v/>
      </c>
    </row>
    <row r="17">
      <c r="A17" s="6" t="inlineStr">
        <is>
          <t>Annualized</t>
        </is>
      </c>
      <c r="B17" s="7">
        <f>Baseline!F14*12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Baseline monthly cost — 21 users</t>
        </is>
      </c>
    </row>
    <row r="2">
      <c r="A2" s="2" t="inlineStr">
        <is>
          <t>Change the blue cells to re-plan. Yellow cells are assumptions to verify.</t>
        </is>
      </c>
    </row>
    <row r="4">
      <c r="A4" s="8" t="inlineStr">
        <is>
          <t>Licence line</t>
        </is>
      </c>
      <c r="B4" s="8" t="inlineStr">
        <is>
          <t>Users</t>
        </is>
      </c>
      <c r="C4" s="8" t="inlineStr">
        <is>
          <t>Per user / mo</t>
        </is>
      </c>
      <c r="D4" s="8" t="inlineStr">
        <is>
          <t>Discount %</t>
        </is>
      </c>
      <c r="E4" s="8" t="inlineStr">
        <is>
          <t>Effective /mo</t>
        </is>
      </c>
      <c r="F4" s="8" t="inlineStr">
        <is>
          <t>Monthly total</t>
        </is>
      </c>
      <c r="G4" s="8" t="inlineStr">
        <is>
          <t>Source / notes</t>
        </is>
      </c>
    </row>
    <row r="5">
      <c r="A5" s="9" t="inlineStr">
        <is>
          <t>Power Apps Premium — office &amp; PMs</t>
        </is>
      </c>
      <c r="B5" s="10" t="n">
        <v>8</v>
      </c>
      <c r="C5" s="11" t="n">
        <v>20</v>
      </c>
      <c r="D5" s="12" t="n">
        <v>0</v>
      </c>
      <c r="E5" s="13">
        <f>C5*(1-D5)</f>
        <v/>
      </c>
      <c r="F5" s="13">
        <f>B5*E5</f>
        <v/>
      </c>
      <c r="G5" s="14" t="inlineStr">
        <is>
          <t>MS list price; annual per-user commitment. Src: microsoft.com/power-platform/pricing</t>
        </is>
      </c>
    </row>
    <row r="6">
      <c r="A6" s="9" t="inlineStr">
        <is>
          <t>Power Apps Premium — crew leads</t>
        </is>
      </c>
      <c r="B6" s="10" t="n">
        <v>10</v>
      </c>
      <c r="C6" s="11" t="n">
        <v>20</v>
      </c>
      <c r="D6" s="12" t="n">
        <v>0</v>
      </c>
      <c r="E6" s="13">
        <f>C6*(1-D6)</f>
        <v/>
      </c>
      <c r="F6" s="13">
        <f>B6*E6</f>
        <v/>
      </c>
      <c r="G6" s="14" t="inlineStr">
        <is>
          <t>Per-app SKU RETIRED for new customers Jan 2, 2026 — Premium is the only path.</t>
        </is>
      </c>
    </row>
    <row r="7">
      <c r="A7" s="9" t="inlineStr">
        <is>
          <t>Power BI Pro — ownership</t>
        </is>
      </c>
      <c r="B7" s="10" t="n">
        <v>3</v>
      </c>
      <c r="C7" s="11" t="n">
        <v>14</v>
      </c>
      <c r="D7" s="12" t="n">
        <v>0</v>
      </c>
      <c r="E7" s="13">
        <f>C7*(1-D7)</f>
        <v/>
      </c>
      <c r="F7" s="13">
        <f>B7*E7</f>
        <v/>
      </c>
      <c r="G7" s="14" t="inlineStr">
        <is>
          <t>Raised from $10 to $14 on April 1, 2025. Src: powerbi.microsoft.com blog</t>
        </is>
      </c>
    </row>
    <row r="8">
      <c r="A8" s="9" t="inlineStr">
        <is>
          <t>Managed Environments</t>
        </is>
      </c>
      <c r="B8" s="10" t="n">
        <v>0</v>
      </c>
      <c r="C8" s="11" t="n">
        <v>0</v>
      </c>
      <c r="D8" s="12" t="n">
        <v>0</v>
      </c>
      <c r="E8" s="13">
        <f>C8*(1-D8)</f>
        <v/>
      </c>
      <c r="F8" s="13">
        <f>B8*E8</f>
        <v/>
      </c>
      <c r="G8" s="14" t="inlineStr">
        <is>
          <t>INCLUDED as entitlement with any standalone Premium licence. Src: learn.microsoft.com managed-environment-licensing</t>
        </is>
      </c>
    </row>
    <row r="9">
      <c r="A9" s="9" t="inlineStr">
        <is>
          <t>Dataverse capacity (base + per-seat)</t>
        </is>
      </c>
      <c r="B9" s="10" t="n">
        <v>0</v>
      </c>
      <c r="C9" s="11" t="n">
        <v>0</v>
      </c>
      <c r="D9" s="12" t="n">
        <v>0</v>
      </c>
      <c r="E9" s="13">
        <f>C9*(1-D9)</f>
        <v/>
      </c>
      <c r="F9" s="13">
        <f>B9*E9</f>
        <v/>
      </c>
      <c r="G9" s="14" t="inlineStr">
        <is>
          <t>20 GB DB + 40 GB file per tenant + 250 MB per Premium user. D2 uses &lt;20 MB/yr.</t>
        </is>
      </c>
    </row>
    <row r="10">
      <c r="A10" s="9" t="inlineStr">
        <is>
          <t>Optional add-on (spare row)</t>
        </is>
      </c>
      <c r="B10" s="10" t="n">
        <v>0</v>
      </c>
      <c r="C10" s="11" t="n">
        <v>0</v>
      </c>
      <c r="D10" s="12" t="n">
        <v>0</v>
      </c>
      <c r="E10" s="13">
        <f>C10*(1-D10)</f>
        <v/>
      </c>
      <c r="F10" s="13">
        <f>B10*E10</f>
        <v/>
      </c>
      <c r="G10" s="14" t="inlineStr">
        <is>
          <t>Use this row for AI Builder credits, portal capacity, storage add-on, etc.</t>
        </is>
      </c>
    </row>
    <row r="14">
      <c r="A14" s="15" t="inlineStr">
        <is>
          <t>TOTAL</t>
        </is>
      </c>
      <c r="B14" s="16">
        <f>SUM(B5:B10)</f>
        <v/>
      </c>
      <c r="C14" s="17" t="n"/>
      <c r="D14" s="17" t="n"/>
      <c r="E14" s="17" t="n"/>
      <c r="F14" s="18">
        <f>SUM(F5:F10)</f>
        <v/>
      </c>
      <c r="G14" s="17" t="n"/>
    </row>
    <row r="16">
      <c r="A16" s="6" t="inlineStr">
        <is>
          <t>Annualized</t>
        </is>
      </c>
      <c r="F16" s="19">
        <f>F14*12</f>
        <v/>
      </c>
    </row>
    <row r="17">
      <c r="A17" s="6" t="inlineStr">
        <is>
          <t>3-year TCO (no escalation)</t>
        </is>
      </c>
      <c r="F17" s="19">
        <f>F14*36</f>
        <v/>
      </c>
    </row>
    <row r="19" ht="32" customHeight="1">
      <c r="A19" s="20" t="inlineStr">
        <is>
          <t>Assumption: annual per-user commitment terms. Monthly billing is generally billed same; multi-year through EA or CSP typically 10–15% discount — model with column D.</t>
        </is>
      </c>
    </row>
  </sheetData>
  <mergeCells count="1"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>
      <c r="A1" s="1" t="inlineStr">
        <is>
          <t>Scenarios — side by side</t>
        </is>
      </c>
    </row>
    <row r="2">
      <c r="A2" s="2" t="inlineStr">
        <is>
          <t>Change blue cells to compare. All formulas apply same Premium ($20) and Pro ($14) unit prices from Baseline sheet.</t>
        </is>
      </c>
    </row>
    <row r="4">
      <c r="A4" s="8" t="inlineStr"/>
      <c r="B4" s="8" t="inlineStr">
        <is>
          <t>A · Current plan</t>
        </is>
      </c>
      <c r="C4" s="8" t="inlineStr">
        <is>
          <t>B · Scale to 30 pools/yr</t>
        </is>
      </c>
      <c r="D4" s="8" t="inlineStr">
        <is>
          <t>C · Downsize (5 users)</t>
        </is>
      </c>
      <c r="E4" s="8" t="inlineStr">
        <is>
          <t>Notes</t>
        </is>
      </c>
    </row>
    <row r="5">
      <c r="A5" s="9" t="inlineStr">
        <is>
          <t>Power Apps Premium seats</t>
        </is>
      </c>
      <c r="B5" s="21" t="n">
        <v>18</v>
      </c>
      <c r="C5" s="21" t="n">
        <v>24</v>
      </c>
      <c r="D5" s="21" t="n">
        <v>4</v>
      </c>
      <c r="E5" s="14" t="inlineStr">
        <is>
          <t>Office + PMs + crew leads</t>
        </is>
      </c>
    </row>
    <row r="6">
      <c r="A6" s="9" t="inlineStr">
        <is>
          <t>Power BI Pro seats</t>
        </is>
      </c>
      <c r="B6" s="21" t="n">
        <v>3</v>
      </c>
      <c r="C6" s="21" t="n">
        <v>5</v>
      </c>
      <c r="D6" s="21" t="n">
        <v>1</v>
      </c>
      <c r="E6" s="14" t="inlineStr">
        <is>
          <t>Ownership + finance if scaling</t>
        </is>
      </c>
    </row>
    <row r="7">
      <c r="A7" s="9" t="inlineStr">
        <is>
          <t>Total headcount</t>
        </is>
      </c>
      <c r="B7" s="22">
        <f>B5+B6</f>
        <v/>
      </c>
      <c r="C7" s="22">
        <f>C5+C6</f>
        <v/>
      </c>
      <c r="D7" s="22">
        <f>D5+D6</f>
        <v/>
      </c>
      <c r="E7" s="14" t="inlineStr">
        <is>
          <t>Sum of the above</t>
        </is>
      </c>
    </row>
    <row r="8">
      <c r="A8" s="9" t="inlineStr">
        <is>
          <t>Premium unit price</t>
        </is>
      </c>
      <c r="B8" s="11" t="n">
        <v>20</v>
      </c>
      <c r="C8" s="11" t="n">
        <v>20</v>
      </c>
      <c r="D8" s="11" t="n">
        <v>20</v>
      </c>
      <c r="E8" s="14" t="inlineStr">
        <is>
          <t>Verified Aug 2026 — MS list</t>
        </is>
      </c>
    </row>
    <row r="9">
      <c r="A9" s="9" t="inlineStr">
        <is>
          <t>Pro unit price</t>
        </is>
      </c>
      <c r="B9" s="11" t="n">
        <v>14</v>
      </c>
      <c r="C9" s="11" t="n">
        <v>14</v>
      </c>
      <c r="D9" s="11" t="n">
        <v>14</v>
      </c>
      <c r="E9" s="14" t="inlineStr">
        <is>
          <t>Verified Aug 2026 — MS list</t>
        </is>
      </c>
    </row>
    <row r="10">
      <c r="A10" s="9" t="inlineStr">
        <is>
          <t>Monthly cost</t>
        </is>
      </c>
      <c r="B10" s="13">
        <f>B5*B8+B6*B9</f>
        <v/>
      </c>
      <c r="C10" s="13">
        <f>C5*C8+C6*C9</f>
        <v/>
      </c>
      <c r="D10" s="13">
        <f>D5*D8+D6*D9</f>
        <v/>
      </c>
      <c r="E10" s="14" t="inlineStr">
        <is>
          <t>Premium × $20 + Pro seats × $14</t>
        </is>
      </c>
    </row>
    <row r="11">
      <c r="A11" s="9" t="inlineStr">
        <is>
          <t>Annualized</t>
        </is>
      </c>
      <c r="B11" s="13">
        <f>B10*12</f>
        <v/>
      </c>
      <c r="C11" s="13">
        <f>C10*12</f>
        <v/>
      </c>
      <c r="D11" s="13">
        <f>D10*12</f>
        <v/>
      </c>
      <c r="E11" s="14" t="inlineStr">
        <is>
          <t>Monthly × 12</t>
        </is>
      </c>
    </row>
    <row r="12">
      <c r="A12" s="9" t="inlineStr">
        <is>
          <t>3-year TCO (no escalation)</t>
        </is>
      </c>
      <c r="B12" s="13">
        <f>B10*36</f>
        <v/>
      </c>
      <c r="C12" s="13">
        <f>C10*36</f>
        <v/>
      </c>
      <c r="D12" s="13">
        <f>D10*36</f>
        <v/>
      </c>
      <c r="E12" s="14" t="inlineStr">
        <is>
          <t>Monthly × 36</t>
        </is>
      </c>
    </row>
    <row r="13">
      <c r="A13" s="9" t="inlineStr">
        <is>
          <t>Per-pool cost per year (@ pool count)</t>
        </is>
      </c>
      <c r="B13" s="21" t="n">
        <v>40</v>
      </c>
      <c r="C13" s="21" t="n">
        <v>60</v>
      </c>
      <c r="D13" s="21" t="n">
        <v>15</v>
      </c>
      <c r="E13" s="14" t="inlineStr">
        <is>
          <t>Adjust the pool count to estimate license cost / job</t>
        </is>
      </c>
    </row>
    <row r="14">
      <c r="A14" s="9" t="inlineStr">
        <is>
          <t>License $ / pool</t>
        </is>
      </c>
      <c r="B14" s="13">
        <f>IF(B13=0,0,B11/B13)</f>
        <v/>
      </c>
      <c r="C14" s="13">
        <f>IF(C13=0,0,C11/C13)</f>
        <v/>
      </c>
      <c r="D14" s="13">
        <f>IF(D13=0,0,D11/D13)</f>
        <v/>
      </c>
      <c r="E14" s="14" t="inlineStr">
        <is>
          <t>Annualized ÷ pool count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80" customWidth="1" min="3" max="3"/>
  </cols>
  <sheetData>
    <row r="1">
      <c r="A1" s="1" t="inlineStr">
        <is>
          <t>Price sources — verified August 13, 2026</t>
        </is>
      </c>
    </row>
    <row r="2">
      <c r="A2" s="2" t="inlineStr">
        <is>
          <t>Every price and rule cited in Baseline and Scenarios traces to one of these.</t>
        </is>
      </c>
    </row>
    <row r="4">
      <c r="A4" s="8" t="inlineStr">
        <is>
          <t>Item</t>
        </is>
      </c>
      <c r="B4" s="8" t="inlineStr">
        <is>
          <t>Value</t>
        </is>
      </c>
      <c r="C4" s="8" t="inlineStr">
        <is>
          <t>URL / reference</t>
        </is>
      </c>
    </row>
    <row r="5" ht="32" customHeight="1">
      <c r="A5" s="9" t="inlineStr">
        <is>
          <t>Power Apps Premium</t>
        </is>
      </c>
      <c r="B5" s="9" t="inlineStr">
        <is>
          <t>$20 / user / month</t>
        </is>
      </c>
      <c r="C5" s="14" t="inlineStr">
        <is>
          <t>https://www.microsoft.com/en-us/power-platform/products/power-apps/pricing</t>
        </is>
      </c>
    </row>
    <row r="6" ht="32" customHeight="1">
      <c r="A6" s="9" t="inlineStr">
        <is>
          <t>Power Apps Premium volume</t>
        </is>
      </c>
      <c r="B6" s="9" t="inlineStr">
        <is>
          <t>$12 at 2000+ seats</t>
        </is>
      </c>
      <c r="C6" s="14" t="inlineStr">
        <is>
          <t>Same page — not applicable at D2's scale.</t>
        </is>
      </c>
    </row>
    <row r="7" ht="32" customHeight="1">
      <c r="A7" s="9" t="inlineStr">
        <is>
          <t>Power Apps per-app (retired)</t>
        </is>
      </c>
      <c r="B7" s="9" t="inlineStr">
        <is>
          <t>End of sale Jan 2, 2026 for new customers</t>
        </is>
      </c>
      <c r="C7" s="14" t="inlineStr">
        <is>
          <t>https://www.microsoft.com/en-us/licensing/news/power-app-per-app-end-of-sale</t>
        </is>
      </c>
    </row>
    <row r="8" ht="32" customHeight="1">
      <c r="A8" s="9" t="inlineStr">
        <is>
          <t>Power Apps Pay-As-You-Go</t>
        </is>
      </c>
      <c r="B8" s="9" t="inlineStr">
        <is>
          <t>$10 / active user / app / month</t>
        </is>
      </c>
      <c r="C8" s="14" t="inlineStr">
        <is>
          <t>Only cheaper than Premium if a crew lead uses the app &lt;2 days/month. Field use is daily, so Premium wins.</t>
        </is>
      </c>
    </row>
    <row r="9" ht="32" customHeight="1">
      <c r="A9" s="9" t="inlineStr">
        <is>
          <t>Power BI Pro</t>
        </is>
      </c>
      <c r="B9" s="9" t="inlineStr">
        <is>
          <t>$14 / user / month (as of Apr 1, 2025)</t>
        </is>
      </c>
      <c r="C9" s="14" t="inlineStr">
        <is>
          <t>https://powerbi.microsoft.com/en-us/blog/important-update-to-microsoft-power-bi-pricing/</t>
        </is>
      </c>
    </row>
    <row r="10" ht="32" customHeight="1">
      <c r="A10" s="9" t="inlineStr">
        <is>
          <t>Managed Environments</t>
        </is>
      </c>
      <c r="B10" s="9" t="inlineStr">
        <is>
          <t>Included with standalone Premium licences</t>
        </is>
      </c>
      <c r="C10" s="14" t="inlineStr">
        <is>
          <t>https://learn.microsoft.com/en-us/power-platform/admin/managed-environment-licensing</t>
        </is>
      </c>
    </row>
    <row r="11" ht="32" customHeight="1">
      <c r="A11" s="9" t="inlineStr">
        <is>
          <t>Dataverse storage (tenant)</t>
        </is>
      </c>
      <c r="B11" s="9" t="inlineStr">
        <is>
          <t>20 GB DB + 40 GB file (raised Dec 2025)</t>
        </is>
      </c>
      <c r="C11" s="14" t="inlineStr">
        <is>
          <t>https://www.microsoft.com/en-us/power-platform/products/power-apps/pricing</t>
        </is>
      </c>
    </row>
    <row r="12" ht="32" customHeight="1">
      <c r="A12" s="9" t="inlineStr">
        <is>
          <t>Dataverse storage (per-seat)</t>
        </is>
      </c>
      <c r="B12" s="9" t="inlineStr">
        <is>
          <t>250 MB DB + 2 GB file per Premium user</t>
        </is>
      </c>
      <c r="C12" s="14" t="inlineStr">
        <is>
          <t>Same source.</t>
        </is>
      </c>
    </row>
    <row r="13" ht="32" customHeight="1">
      <c r="A13" s="9" t="inlineStr">
        <is>
          <t>Offline canvas app limits</t>
        </is>
      </c>
      <c r="B13" s="9" t="inlineStr">
        <is>
          <t>Dataverse-only; standalone canvas only; ≤3M rows; no Relate/Unrelate; no M:N; one lookup level</t>
        </is>
      </c>
      <c r="C13" s="14" t="inlineStr">
        <is>
          <t>https://learn.microsoft.com/en-us/power-apps/mobile/limitations-canvas-apps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2026-08-13T20:34:28Z</dcterms:created>
  <dcterms:modified xmlns:dcterms="http://purl.org/dc/terms/" xmlns:xsi="http://www.w3.org/2001/XMLSchema-instance" xsi:type="dcterms:W3CDTF">2026-08-13T20:34:28Z</dcterms:modified>
</cp:coreProperties>
</file>