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ttom line" sheetId="1" state="visible" r:id="rId1"/>
    <sheet xmlns:r="http://schemas.openxmlformats.org/officeDocument/2006/relationships" name="Lists" sheetId="2" state="visible" r:id="rId2"/>
    <sheet xmlns:r="http://schemas.openxmlformats.org/officeDocument/2006/relationships" name="Dataverse" sheetId="3" state="visible" r:id="rId3"/>
    <sheet xmlns:r="http://schemas.openxmlformats.org/officeDocument/2006/relationships" name="What chang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;[Red](&quot;$&quot;#,##0.00);&quot;-&quot;"/>
    <numFmt numFmtId="165" formatCode="&quot;$&quot;#,##0;[Red](&quot;$&quot;#,##0);&quot;-&quot;"/>
  </numFmts>
  <fonts count="9">
    <font>
      <name val="Calibri"/>
      <family val="2"/>
      <color theme="1"/>
      <sz val="11"/>
      <scheme val="minor"/>
    </font>
    <font>
      <name val="Arial"/>
      <b val="1"/>
      <color rgb="001A2332"/>
      <sz val="16"/>
    </font>
    <font>
      <name val="Arial"/>
      <i val="1"/>
      <color rgb="005D6E77"/>
      <sz val="10"/>
    </font>
    <font>
      <name val="Arial"/>
      <b val="1"/>
      <color rgb="00FFFFFF"/>
      <sz val="11"/>
    </font>
    <font>
      <name val="Arial"/>
      <color rgb="001A2332"/>
      <sz val="11"/>
    </font>
    <font>
      <name val="Arial"/>
      <color rgb="00008000"/>
      <sz val="11"/>
    </font>
    <font>
      <name val="Arial"/>
      <b val="1"/>
      <color rgb="001A2332"/>
      <sz val="12"/>
    </font>
    <font>
      <name val="Arial"/>
      <b val="1"/>
      <color rgb="000000FF"/>
      <sz val="11"/>
    </font>
    <font>
      <name val="Arial"/>
      <b val="1"/>
      <color rgb="001A2332"/>
      <sz val="11"/>
    </font>
  </fonts>
  <fills count="6">
    <fill>
      <patternFill/>
    </fill>
    <fill>
      <patternFill patternType="gray125"/>
    </fill>
    <fill>
      <patternFill patternType="solid">
        <fgColor rgb="000B6E78"/>
      </patternFill>
    </fill>
    <fill>
      <patternFill patternType="solid">
        <fgColor rgb="00E8F4F3"/>
      </patternFill>
    </fill>
    <fill>
      <patternFill patternType="solid">
        <fgColor rgb="00E7EBEC"/>
      </patternFill>
    </fill>
    <fill>
      <patternFill patternType="solid">
        <fgColor rgb="00FFFF99"/>
      </patternFill>
    </fill>
  </fills>
  <borders count="3">
    <border>
      <left/>
      <right/>
      <top/>
      <bottom/>
      <diagonal/>
    </border>
    <border>
      <left style="thin">
        <color rgb="00D6DCDE"/>
      </left>
      <right style="thin">
        <color rgb="00D6DCDE"/>
      </right>
      <top style="medium">
        <color rgb="001A2332"/>
      </top>
      <bottom style="medium">
        <color rgb="001A2332"/>
      </bottom>
    </border>
    <border>
      <left style="thin">
        <color rgb="00D6DCDE"/>
      </left>
      <right style="thin">
        <color rgb="00D6DCDE"/>
      </right>
      <top style="thin">
        <color rgb="00D6DCDE"/>
      </top>
      <bottom style="thin">
        <color rgb="00D6DCD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pivotButton="0" quotePrefix="0" xfId="0"/>
    <xf numFmtId="164" fontId="5" fillId="3" borderId="2" pivotButton="0" quotePrefix="0" xfId="0"/>
    <xf numFmtId="164" fontId="5" fillId="0" borderId="2" pivotButton="0" quotePrefix="0" xfId="0"/>
    <xf numFmtId="0" fontId="2" fillId="0" borderId="2" applyAlignment="1" pivotButton="0" quotePrefix="0" xfId="0">
      <alignment vertical="top" wrapText="1"/>
    </xf>
    <xf numFmtId="3" fontId="4" fillId="3" borderId="2" pivotButton="0" quotePrefix="0" xfId="0"/>
    <xf numFmtId="3" fontId="4" fillId="0" borderId="2" pivotButton="0" quotePrefix="0" xfId="0"/>
    <xf numFmtId="0" fontId="4" fillId="3" borderId="2" pivotButton="0" quotePrefix="0" xfId="0"/>
    <xf numFmtId="0" fontId="6" fillId="0" borderId="0" pivotButton="0" quotePrefix="0" xfId="0"/>
    <xf numFmtId="0" fontId="4" fillId="0" borderId="0" applyAlignment="1" pivotButton="0" quotePrefix="0" xfId="0">
      <alignment wrapText="1"/>
    </xf>
    <xf numFmtId="3" fontId="7" fillId="0" borderId="2" pivotButton="0" quotePrefix="0" xfId="0"/>
    <xf numFmtId="164" fontId="7" fillId="0" borderId="2" pivotButton="0" quotePrefix="0" xfId="0"/>
    <xf numFmtId="164" fontId="4" fillId="0" borderId="2" pivotButton="0" quotePrefix="0" xfId="0"/>
    <xf numFmtId="0" fontId="0" fillId="0" borderId="2" pivotButton="0" quotePrefix="0" xfId="0"/>
    <xf numFmtId="0" fontId="8" fillId="4" borderId="1" pivotButton="0" quotePrefix="0" xfId="0"/>
    <xf numFmtId="0" fontId="0" fillId="4" borderId="1" pivotButton="0" quotePrefix="0" xfId="0"/>
    <xf numFmtId="164" fontId="8" fillId="4" borderId="1" pivotButton="0" quotePrefix="0" xfId="0"/>
    <xf numFmtId="0" fontId="8" fillId="0" borderId="0" pivotButton="0" quotePrefix="0" xfId="0"/>
    <xf numFmtId="164" fontId="8" fillId="0" borderId="0" pivotButton="0" quotePrefix="0" xfId="0"/>
    <xf numFmtId="0" fontId="4" fillId="0" borderId="0" pivotButton="0" quotePrefix="0" xfId="0"/>
    <xf numFmtId="3" fontId="7" fillId="5" borderId="0" pivotButton="0" quotePrefix="0" xfId="0"/>
    <xf numFmtId="165" fontId="7" fillId="5" borderId="0" pivotButton="0" quotePrefix="0" xfId="0"/>
    <xf numFmtId="0" fontId="4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54" customWidth="1" min="4" max="4"/>
  </cols>
  <sheetData>
    <row r="1">
      <c r="A1" s="1" t="inlineStr">
        <is>
          <t>D2 Build Scheduler — confirmed-scope cost model</t>
        </is>
      </c>
    </row>
    <row r="2">
      <c r="A2" s="2" t="inlineStr">
        <is>
          <t>Based on D2 answers: 5 users, no BI, no offline required, four subcontractor crews · Aug 13 2026</t>
        </is>
      </c>
    </row>
    <row r="4">
      <c r="A4" s="3" t="inlineStr"/>
      <c r="B4" s="4" t="inlineStr">
        <is>
          <t>Option A (Lists) — RECOMMENDED</t>
        </is>
      </c>
      <c r="C4" s="3" t="inlineStr">
        <is>
          <t>Dataverse plan (fallback)</t>
        </is>
      </c>
      <c r="D4" s="3" t="inlineStr">
        <is>
          <t>Note</t>
        </is>
      </c>
    </row>
    <row r="5">
      <c r="A5" s="5" t="inlineStr">
        <is>
          <t>Monthly software cost</t>
        </is>
      </c>
      <c r="B5" s="6">
        <f>Lists!C13</f>
        <v/>
      </c>
      <c r="C5" s="7">
        <f>Dataverse!C10</f>
        <v/>
      </c>
      <c r="D5" s="8" t="inlineStr">
        <is>
          <t>Both at confirmed scope: 5 seats, no BI</t>
        </is>
      </c>
    </row>
    <row r="6">
      <c r="A6" s="5" t="inlineStr">
        <is>
          <t>Annual software cost</t>
        </is>
      </c>
      <c r="B6" s="6">
        <f>Lists!C13*12</f>
        <v/>
      </c>
      <c r="C6" s="7">
        <f>Dataverse!C10*12</f>
        <v/>
      </c>
      <c r="D6" s="8" t="inlineStr"/>
    </row>
    <row r="7">
      <c r="A7" s="5" t="inlineStr">
        <is>
          <t>One-time build</t>
        </is>
      </c>
      <c r="B7" s="6">
        <f>Lists!F14</f>
        <v/>
      </c>
      <c r="C7" s="7">
        <f>Dataverse!F14</f>
        <v/>
      </c>
      <c r="D7" s="8" t="inlineStr">
        <is>
          <t>Build hours × blended rate; edit in respective sheet</t>
        </is>
      </c>
    </row>
    <row r="8">
      <c r="A8" s="5" t="inlineStr">
        <is>
          <t>3-year TCO</t>
        </is>
      </c>
      <c r="B8" s="6">
        <f>Lists!C13*36+Lists!F14</f>
        <v/>
      </c>
      <c r="C8" s="7">
        <f>Dataverse!C10*36+Dataverse!F14</f>
        <v/>
      </c>
      <c r="D8" s="8" t="inlineStr"/>
    </row>
    <row r="9">
      <c r="A9" s="5" t="inlineStr">
        <is>
          <t>Time to production (weeks)</t>
        </is>
      </c>
      <c r="B9" s="9" t="n">
        <v>5</v>
      </c>
      <c r="C9" s="10" t="n">
        <v>13</v>
      </c>
      <c r="D9" s="8" t="inlineStr">
        <is>
          <t>Lists is 5 wks; Dataverse is 13 per §11 of the original plan</t>
        </is>
      </c>
    </row>
    <row r="10">
      <c r="A10" s="5" t="inlineStr">
        <is>
          <t>Vs. original plan estimate</t>
        </is>
      </c>
      <c r="B10" s="11" t="inlineStr">
        <is>
          <t>-100%</t>
        </is>
      </c>
      <c r="C10" s="5" t="inlineStr">
        <is>
          <t>-75%</t>
        </is>
      </c>
      <c r="D10" s="8" t="inlineStr">
        <is>
          <t>Original plan was $402/mo — dropping BI and right-sizing seats</t>
        </is>
      </c>
    </row>
    <row r="13">
      <c r="A13" s="12" t="inlineStr">
        <is>
          <t>What changed from Rev A of this model</t>
        </is>
      </c>
    </row>
    <row r="14">
      <c r="A14" s="13" t="inlineStr">
        <is>
          <t xml:space="preserve">  · Office/PM seats: 3 (Don) + 2 PMs = 5. Was 8 in the original plan.</t>
        </is>
      </c>
    </row>
    <row r="15">
      <c r="A15" s="13" t="inlineStr">
        <is>
          <t xml:space="preserve">  · Power BI Pro: 0 seats. Don confirmed weekly/daily PDFs by email are fine — no dashboards.</t>
        </is>
      </c>
    </row>
    <row r="16">
      <c r="A16" s="13" t="inlineStr">
        <is>
          <t xml:space="preserve">  · Field crew leads: covered by existing M365 seats. Workers (subcontracted labor) are not in the system.</t>
        </is>
      </c>
    </row>
    <row r="17">
      <c r="A17" s="13" t="inlineStr">
        <is>
          <t xml:space="preserve">  · Four subcontractor crews (George, Armondo, STL Shotcrete, Brothers) modeled as capacity-exempt buckets — no roster, no seat.</t>
        </is>
      </c>
    </row>
    <row r="18">
      <c r="A18" s="13" t="inlineStr">
        <is>
          <t xml:space="preserve">  · Stratirus support: baseline for the standard 3-year Stratirus contract with monthly hourly commit — reflected in the SOW, not in this software cost model.</t>
        </is>
      </c>
    </row>
  </sheetData>
  <mergeCells count="5">
    <mergeCell ref="A17:D17"/>
    <mergeCell ref="A18:D18"/>
    <mergeCell ref="A15:D15"/>
    <mergeCell ref="A16:D16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44" customWidth="1" min="7" max="7"/>
  </cols>
  <sheetData>
    <row r="1">
      <c r="A1" s="1" t="inlineStr">
        <is>
          <t>Option A: Microsoft Lists — confirmed scope</t>
        </is>
      </c>
    </row>
    <row r="2">
      <c r="A2" s="2" t="inlineStr">
        <is>
          <t>$0 incremental monthly · 5-week build · adjust yellow cells to model changes</t>
        </is>
      </c>
    </row>
    <row r="4">
      <c r="A4" s="3" t="inlineStr">
        <is>
          <t>Line</t>
        </is>
      </c>
      <c r="B4" s="3" t="inlineStr">
        <is>
          <t>Qty</t>
        </is>
      </c>
      <c r="C4" s="3" t="inlineStr">
        <is>
          <t>Per unit / mo</t>
        </is>
      </c>
      <c r="D4" s="3" t="inlineStr">
        <is>
          <t>Monthly</t>
        </is>
      </c>
      <c r="E4" s="3" t="inlineStr">
        <is>
          <t>One-time</t>
        </is>
      </c>
      <c r="F4" s="3" t="inlineStr">
        <is>
          <t>Notes</t>
        </is>
      </c>
    </row>
    <row r="5">
      <c r="A5" s="5" t="inlineStr">
        <is>
          <t>M365 seats (existing, no incremental)</t>
        </is>
      </c>
      <c r="B5" s="14" t="n">
        <v>5</v>
      </c>
      <c r="C5" s="15" t="n">
        <v>0</v>
      </c>
      <c r="D5" s="16">
        <f>B5*C5</f>
        <v/>
      </c>
      <c r="E5" s="17" t="n"/>
      <c r="F5" s="17" t="n"/>
      <c r="G5" s="8" t="inlineStr">
        <is>
          <t>3 Don + 2 PMs already licensed</t>
        </is>
      </c>
    </row>
    <row r="6">
      <c r="A6" s="5" t="inlineStr">
        <is>
          <t>Crew lead M365 seats (existing)</t>
        </is>
      </c>
      <c r="B6" s="5" t="inlineStr">
        <is>
          <t>—</t>
        </is>
      </c>
      <c r="C6" s="15" t="n">
        <v>0</v>
      </c>
      <c r="D6" s="16" t="n">
        <v>0</v>
      </c>
      <c r="E6" s="17" t="n"/>
      <c r="F6" s="17" t="n"/>
      <c r="G6" s="8" t="inlineStr">
        <is>
          <t>Leads already have accounts; workers don't touch the system</t>
        </is>
      </c>
    </row>
    <row r="7">
      <c r="A7" s="5" t="inlineStr">
        <is>
          <t>Power Automate premium connectors</t>
        </is>
      </c>
      <c r="B7" s="14" t="n">
        <v>0</v>
      </c>
      <c r="C7" s="15" t="n">
        <v>0</v>
      </c>
      <c r="D7" s="16">
        <f>B7*C7</f>
        <v/>
      </c>
      <c r="E7" s="17" t="n"/>
      <c r="F7" s="17" t="n"/>
      <c r="G7" s="8" t="inlineStr">
        <is>
          <t>None used — standard connectors only</t>
        </is>
      </c>
    </row>
    <row r="8">
      <c r="A8" s="5" t="inlineStr">
        <is>
          <t>SharePoint storage</t>
        </is>
      </c>
      <c r="B8" s="14" t="n">
        <v>1</v>
      </c>
      <c r="C8" s="15" t="n">
        <v>0</v>
      </c>
      <c r="D8" s="16">
        <f>B8*C8</f>
        <v/>
      </c>
      <c r="E8" s="17" t="n"/>
      <c r="F8" s="17" t="n"/>
      <c r="G8" s="8" t="inlineStr">
        <is>
          <t>20 GB base + per-seat; D2 uses &lt;100 MB</t>
        </is>
      </c>
    </row>
    <row r="9">
      <c r="A9" s="5" t="inlineStr">
        <is>
          <t>Microsoft Forms</t>
        </is>
      </c>
      <c r="B9" s="14" t="n">
        <v>1</v>
      </c>
      <c r="C9" s="15" t="n">
        <v>0</v>
      </c>
      <c r="D9" s="16">
        <f>B9*C9</f>
        <v/>
      </c>
      <c r="E9" s="17" t="n"/>
      <c r="F9" s="17" t="n"/>
      <c r="G9" s="8" t="inlineStr">
        <is>
          <t>Included</t>
        </is>
      </c>
    </row>
    <row r="10">
      <c r="A10" s="5" t="inlineStr">
        <is>
          <t>Teams channels</t>
        </is>
      </c>
      <c r="B10" s="14" t="n">
        <v>2</v>
      </c>
      <c r="C10" s="15" t="n">
        <v>0</v>
      </c>
      <c r="D10" s="16">
        <f>B10*C10</f>
        <v/>
      </c>
      <c r="E10" s="17" t="n"/>
      <c r="F10" s="17" t="n"/>
      <c r="G10" s="8" t="inlineStr">
        <is>
          <t>Field channel + Ownership channel; included</t>
        </is>
      </c>
    </row>
    <row r="11">
      <c r="A11" s="5" t="inlineStr">
        <is>
          <t>Weekly / daily PDF flow</t>
        </is>
      </c>
      <c r="B11" s="14" t="n">
        <v>1</v>
      </c>
      <c r="C11" s="15" t="n">
        <v>0</v>
      </c>
      <c r="D11" s="16">
        <f>B11*C11</f>
        <v/>
      </c>
      <c r="E11" s="17" t="n"/>
      <c r="F11" s="17" t="n"/>
      <c r="G11" s="8" t="inlineStr">
        <is>
          <t>Standard Convert File action; replaces BI dashboards</t>
        </is>
      </c>
    </row>
    <row r="13">
      <c r="A13" s="18" t="inlineStr">
        <is>
          <t>Total monthly software</t>
        </is>
      </c>
      <c r="B13" s="19" t="n"/>
      <c r="C13" s="20">
        <f>SUM(D5:D11)</f>
        <v/>
      </c>
      <c r="D13" s="19" t="n"/>
      <c r="E13" s="19" t="n"/>
      <c r="F13" s="19" t="n"/>
      <c r="G13" s="19" t="n"/>
    </row>
    <row r="14">
      <c r="A14" s="21" t="inlineStr">
        <is>
          <t>Build effort</t>
        </is>
      </c>
      <c r="F14" s="22">
        <f>B15*B16</f>
        <v/>
      </c>
    </row>
    <row r="15">
      <c r="A15" s="23" t="inlineStr">
        <is>
          <t>Estimated build hours</t>
        </is>
      </c>
      <c r="B15" s="24" t="n">
        <v>100</v>
      </c>
      <c r="G15" s="2" t="inlineStr">
        <is>
          <t>Rev C: adds a Tasks list for the 295-task granularity Don wants ticked. +10 hrs from Rev B.</t>
        </is>
      </c>
    </row>
    <row r="16">
      <c r="A16" s="23" t="inlineStr">
        <is>
          <t>Blended low-code rate ($/hr)</t>
        </is>
      </c>
      <c r="B16" s="25" t="n">
        <v>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44" customWidth="1" min="7" max="7"/>
  </cols>
  <sheetData>
    <row r="1">
      <c r="A1" s="1" t="inlineStr">
        <is>
          <t>Dataverse plan (fallback) — confirmed scope</t>
        </is>
      </c>
    </row>
    <row r="2">
      <c r="A2" s="2" t="inlineStr">
        <is>
          <t>If Option A gets rejected. Original plan at $402/mo becomes $100/mo at confirmed scope.</t>
        </is>
      </c>
    </row>
    <row r="4">
      <c r="A4" s="3" t="inlineStr">
        <is>
          <t>Line</t>
        </is>
      </c>
      <c r="B4" s="3" t="inlineStr">
        <is>
          <t>Users</t>
        </is>
      </c>
      <c r="C4" s="3" t="inlineStr">
        <is>
          <t>Per user / mo</t>
        </is>
      </c>
      <c r="D4" s="3" t="inlineStr">
        <is>
          <t>Monthly</t>
        </is>
      </c>
      <c r="E4" s="3" t="inlineStr">
        <is>
          <t>One-time</t>
        </is>
      </c>
      <c r="F4" s="3" t="inlineStr">
        <is>
          <t>Notes</t>
        </is>
      </c>
    </row>
    <row r="5">
      <c r="A5" s="5" t="inlineStr">
        <is>
          <t>Power Apps Premium — office &amp; PMs</t>
        </is>
      </c>
      <c r="B5" s="14" t="n">
        <v>5</v>
      </c>
      <c r="C5" s="15" t="n">
        <v>20</v>
      </c>
      <c r="D5" s="16">
        <f>B5*C5</f>
        <v/>
      </c>
      <c r="E5" s="17" t="n"/>
      <c r="F5" s="17" t="n"/>
      <c r="G5" s="8" t="inlineStr">
        <is>
          <t>3 Don + 2 PMs; was 8 in original plan</t>
        </is>
      </c>
    </row>
    <row r="6">
      <c r="A6" s="5" t="inlineStr">
        <is>
          <t>Power Apps Premium — crew leads</t>
        </is>
      </c>
      <c r="B6" s="5" t="inlineStr">
        <is>
          <t>—</t>
        </is>
      </c>
      <c r="C6" s="15" t="n">
        <v>0</v>
      </c>
      <c r="D6" s="16" t="n">
        <v>0</v>
      </c>
      <c r="E6" s="17" t="n"/>
      <c r="F6" s="17" t="n"/>
      <c r="G6" s="8" t="inlineStr">
        <is>
          <t>Now $0 — if we're on Dataverse we'd still need seats for the field app; keeping this line here for the confirmed-scope-with-mobile scenario, adjust as needed</t>
        </is>
      </c>
    </row>
    <row r="7">
      <c r="A7" s="5" t="inlineStr">
        <is>
          <t>Power BI Pro</t>
        </is>
      </c>
      <c r="B7" s="14" t="n">
        <v>0</v>
      </c>
      <c r="C7" s="15" t="n">
        <v>14</v>
      </c>
      <c r="D7" s="16">
        <f>B7*C7</f>
        <v/>
      </c>
      <c r="E7" s="17" t="n"/>
      <c r="F7" s="17" t="n"/>
      <c r="G7" s="8" t="inlineStr">
        <is>
          <t>Don confirmed weekly PDF acceptable — no BI seats</t>
        </is>
      </c>
    </row>
    <row r="8">
      <c r="A8" s="5" t="inlineStr">
        <is>
          <t>Managed Environments</t>
        </is>
      </c>
      <c r="B8" s="5" t="inlineStr">
        <is>
          <t>—</t>
        </is>
      </c>
      <c r="C8" s="15" t="n">
        <v>0</v>
      </c>
      <c r="D8" s="16" t="n">
        <v>0</v>
      </c>
      <c r="E8" s="17" t="n"/>
      <c r="F8" s="17" t="n"/>
      <c r="G8" s="8" t="inlineStr">
        <is>
          <t>Included with Premium</t>
        </is>
      </c>
    </row>
    <row r="9">
      <c r="A9" s="5" t="inlineStr">
        <is>
          <t>Dataverse capacity</t>
        </is>
      </c>
      <c r="B9" s="5" t="inlineStr">
        <is>
          <t>—</t>
        </is>
      </c>
      <c r="C9" s="15" t="n">
        <v>0</v>
      </c>
      <c r="D9" s="16" t="n">
        <v>0</v>
      </c>
      <c r="E9" s="17" t="n"/>
      <c r="F9" s="17" t="n"/>
      <c r="G9" s="8" t="inlineStr">
        <is>
          <t>20 GB base + 250 MB/seat included</t>
        </is>
      </c>
    </row>
    <row r="10">
      <c r="A10" s="18" t="inlineStr">
        <is>
          <t>Total monthly software</t>
        </is>
      </c>
      <c r="B10" s="19" t="n"/>
      <c r="C10" s="20">
        <f>SUM(D5:D9)</f>
        <v/>
      </c>
      <c r="D10" s="19" t="n"/>
      <c r="E10" s="19" t="n"/>
      <c r="F10" s="19" t="n"/>
      <c r="G10" s="19" t="n"/>
    </row>
    <row r="12">
      <c r="A12" s="21" t="inlineStr">
        <is>
          <t>Build effort</t>
        </is>
      </c>
      <c r="F12" s="22">
        <f>B13*B14</f>
        <v/>
      </c>
    </row>
    <row r="13">
      <c r="A13" s="23" t="inlineStr">
        <is>
          <t>Estimated build hours</t>
        </is>
      </c>
      <c r="B13" s="24" t="n">
        <v>260</v>
      </c>
      <c r="G13" s="2" t="inlineStr">
        <is>
          <t>Per plan §11: 13 weeks × ~20 low-code hrs/wk. Adjust if BI is dropped from build too.</t>
        </is>
      </c>
    </row>
    <row r="14">
      <c r="A14" s="23" t="inlineStr">
        <is>
          <t>Blended low-code rate ($/hr)</t>
        </is>
      </c>
      <c r="B14" s="25" t="n">
        <v>140</v>
      </c>
      <c r="F14" s="22">
        <f>B13*B14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50" customWidth="1" min="4" max="4"/>
  </cols>
  <sheetData>
    <row r="1">
      <c r="A1" s="1" t="inlineStr">
        <is>
          <t>What changed from the previous cost model</t>
        </is>
      </c>
    </row>
    <row r="2">
      <c r="A2" s="2" t="inlineStr">
        <is>
          <t>Driven by David and Don's answers on the Aug 13 call</t>
        </is>
      </c>
    </row>
    <row r="4">
      <c r="A4" s="3" t="inlineStr">
        <is>
          <t>Line</t>
        </is>
      </c>
      <c r="B4" s="3" t="inlineStr">
        <is>
          <t>Previous</t>
        </is>
      </c>
      <c r="C4" s="3" t="inlineStr">
        <is>
          <t>Confirmed</t>
        </is>
      </c>
      <c r="D4" s="3" t="inlineStr">
        <is>
          <t>Reason</t>
        </is>
      </c>
    </row>
    <row r="5" ht="32" customHeight="1">
      <c r="A5" s="26" t="inlineStr">
        <is>
          <t>Office/PM seats</t>
        </is>
      </c>
      <c r="B5" s="26" t="inlineStr">
        <is>
          <t>8 assumed</t>
        </is>
      </c>
      <c r="C5" s="26" t="inlineStr">
        <is>
          <t>5 (3 Don + 2 PMs)</t>
        </is>
      </c>
      <c r="D5" s="26" t="inlineStr">
        <is>
          <t>Right-sized to actual per Don</t>
        </is>
      </c>
    </row>
    <row r="6" ht="32" customHeight="1">
      <c r="A6" s="26" t="inlineStr">
        <is>
          <t>Power BI Pro seats</t>
        </is>
      </c>
      <c r="B6" s="26" t="inlineStr">
        <is>
          <t>3</t>
        </is>
      </c>
      <c r="C6" s="26" t="inlineStr">
        <is>
          <t>0</t>
        </is>
      </c>
      <c r="D6" s="26" t="inlineStr">
        <is>
          <t>Don confirmed weekly/daily PDF by email acceptable</t>
        </is>
      </c>
    </row>
    <row r="7" ht="32" customHeight="1">
      <c r="A7" s="26" t="inlineStr">
        <is>
          <t>Crew lead seats</t>
        </is>
      </c>
      <c r="B7" s="26" t="inlineStr">
        <is>
          <t>10 Premium</t>
        </is>
      </c>
      <c r="C7" s="26" t="inlineStr">
        <is>
          <t>0 incremental (existing M365)</t>
        </is>
      </c>
      <c r="D7" s="26" t="inlineStr">
        <is>
          <t>Leads already licensed; workers don't touch the system</t>
        </is>
      </c>
    </row>
    <row r="8" ht="32" customHeight="1">
      <c r="A8" s="26" t="inlineStr">
        <is>
          <t>Field workers</t>
        </is>
      </c>
      <c r="B8" s="26" t="inlineStr">
        <is>
          <t>10 Premium (was $200/mo)</t>
        </is>
      </c>
      <c r="C8" s="26" t="inlineStr">
        <is>
          <t>Not in the system</t>
        </is>
      </c>
      <c r="D8" s="26" t="inlineStr">
        <is>
          <t>Sign-off is at the lead level only</t>
        </is>
      </c>
    </row>
    <row r="9" ht="32" customHeight="1">
      <c r="A9" s="26" t="inlineStr">
        <is>
          <t>Offline mobile requirement</t>
        </is>
      </c>
      <c r="B9" s="26" t="inlineStr">
        <is>
          <t>Load-bearing</t>
        </is>
      </c>
      <c r="C9" s="26" t="inlineStr">
        <is>
          <t>Not required</t>
        </is>
      </c>
      <c r="D9" s="26" t="inlineStr">
        <is>
          <t>David: online required for all mobile / laptop use</t>
        </is>
      </c>
    </row>
    <row r="10" ht="32" customHeight="1">
      <c r="A10" s="26" t="inlineStr">
        <is>
          <t>Task granularity</t>
        </is>
      </c>
      <c r="B10" s="26" t="inlineStr">
        <is>
          <t>295 tasks (or 46 collapsed)</t>
        </is>
      </c>
      <c r="C10" s="26" t="inlineStr">
        <is>
          <t>295 tasks kept</t>
        </is>
      </c>
      <c r="D10" s="26" t="inlineStr">
        <is>
          <t>Don wants each step ticked</t>
        </is>
      </c>
    </row>
    <row r="11" ht="32" customHeight="1">
      <c r="A11" s="26" t="inlineStr">
        <is>
          <t>Subcontractor crew handling</t>
        </is>
      </c>
      <c r="B11" s="26" t="inlineStr">
        <is>
          <t>Undefined</t>
        </is>
      </c>
      <c r="C11" s="26" t="inlineStr">
        <is>
          <t>Unlimited=Yes on 4 crews</t>
        </is>
      </c>
      <c r="D11" s="26" t="inlineStr">
        <is>
          <t>George, Armondo, STL Shotcrete, Brothers</t>
        </is>
      </c>
    </row>
    <row r="12" ht="32" customHeight="1">
      <c r="A12" s="26" t="inlineStr">
        <is>
          <t>Post-launch support</t>
        </is>
      </c>
      <c r="B12" s="26" t="inlineStr">
        <is>
          <t>Discussed separately</t>
        </is>
      </c>
      <c r="C12" s="26" t="inlineStr">
        <is>
          <t>Standard 3-yr Stratirus contract</t>
        </is>
      </c>
      <c r="D12" s="26" t="inlineStr">
        <is>
          <t>Baseline; not a separate cost 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2026-08-19T15:05:51Z</dcterms:created>
  <dcterms:modified xmlns:dcterms="http://purl.org/dc/terms/" xmlns:xsi="http://www.w3.org/2001/XMLSchema-instance" xsi:type="dcterms:W3CDTF">2026-08-19T15:05:51Z</dcterms:modified>
</cp:coreProperties>
</file>