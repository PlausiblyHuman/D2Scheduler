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_PP" sheetId="2" state="visible" r:id="rId2"/>
    <sheet xmlns:r="http://schemas.openxmlformats.org/officeDocument/2006/relationships" name="Detail_Supa" sheetId="3" state="visible" r:id="rId3"/>
    <sheet xmlns:r="http://schemas.openxmlformats.org/officeDocument/2006/relationships" name="Feature par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;&quot;-&quot;"/>
    <numFmt numFmtId="165" formatCode="&quot;$&quot;#,##0;[Red](&quot;$&quot;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1A2332"/>
      <sz val="16"/>
    </font>
    <font>
      <name val="Arial"/>
      <i val="1"/>
      <color rgb="005D6E77"/>
      <sz val="10"/>
    </font>
    <font>
      <name val="Arial"/>
      <b val="1"/>
      <color rgb="00FFFFFF"/>
      <sz val="11"/>
    </font>
    <font>
      <name val="Arial"/>
      <color rgb="001A2332"/>
      <sz val="11"/>
    </font>
    <font>
      <name val="Arial"/>
      <color rgb="00008000"/>
      <sz val="11"/>
    </font>
    <font>
      <name val="Arial"/>
      <b val="1"/>
      <color rgb="001A2332"/>
      <sz val="13"/>
    </font>
    <font>
      <name val="Arial"/>
      <b val="1"/>
      <color rgb="000000FF"/>
      <sz val="11"/>
    </font>
    <font>
      <name val="Arial"/>
      <b val="1"/>
      <color rgb="001A2332"/>
      <sz val="11"/>
    </font>
  </fonts>
  <fills count="5">
    <fill>
      <patternFill/>
    </fill>
    <fill>
      <patternFill patternType="gray125"/>
    </fill>
    <fill>
      <patternFill patternType="solid">
        <fgColor rgb="000B6E78"/>
      </patternFill>
    </fill>
    <fill>
      <patternFill patternType="solid">
        <fgColor rgb="00E7EBEC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thin">
        <color rgb="00D6DCDE"/>
      </left>
      <right style="thin">
        <color rgb="00D6DCDE"/>
      </right>
      <top style="medium">
        <color rgb="001A2332"/>
      </top>
      <bottom style="medium">
        <color rgb="001A2332"/>
      </bottom>
    </border>
    <border>
      <left style="thin">
        <color rgb="00D6DCDE"/>
      </left>
      <right style="thin">
        <color rgb="00D6DCDE"/>
      </right>
      <top style="thin">
        <color rgb="00D6DCDE"/>
      </top>
      <bottom style="thin">
        <color rgb="00D6DC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164" fontId="5" fillId="0" borderId="2" applyAlignment="1" pivotButton="0" quotePrefix="0" xfId="0">
      <alignment horizontal="right" vertical="top" wrapText="1"/>
    </xf>
    <xf numFmtId="0" fontId="2" fillId="0" borderId="2" applyAlignment="1" pivotButton="0" quotePrefix="0" xfId="0">
      <alignment vertical="top" wrapText="1"/>
    </xf>
    <xf numFmtId="3" fontId="4" fillId="0" borderId="2" applyAlignment="1" pivotButton="0" quotePrefix="0" xfId="0">
      <alignment horizontal="right" vertical="top" wrapText="1"/>
    </xf>
    <xf numFmtId="3" fontId="5" fillId="0" borderId="2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3" fontId="7" fillId="0" borderId="2" pivotButton="0" quotePrefix="0" xfId="0"/>
    <xf numFmtId="164" fontId="7" fillId="0" borderId="2" pivotButton="0" quotePrefix="0" xfId="0"/>
    <xf numFmtId="164" fontId="4" fillId="0" borderId="2" pivotButton="0" quotePrefix="0" xfId="0"/>
    <xf numFmtId="0" fontId="0" fillId="0" borderId="2" pivotButton="0" quotePrefix="0" xfId="0"/>
    <xf numFmtId="0" fontId="8" fillId="3" borderId="1" pivotButton="0" quotePrefix="0" xfId="0"/>
    <xf numFmtId="0" fontId="0" fillId="3" borderId="1" pivotButton="0" quotePrefix="0" xfId="0"/>
    <xf numFmtId="164" fontId="8" fillId="3" borderId="1" pivotButton="0" quotePrefix="0" xfId="0"/>
    <xf numFmtId="0" fontId="8" fillId="0" borderId="0" pivotButton="0" quotePrefix="0" xfId="0"/>
    <xf numFmtId="0" fontId="4" fillId="0" borderId="0" pivotButton="0" quotePrefix="0" xfId="0"/>
    <xf numFmtId="3" fontId="7" fillId="4" borderId="0" pivotButton="0" quotePrefix="0" xfId="0"/>
    <xf numFmtId="165" fontId="7" fillId="4" borderId="0" pivotButton="0" quotePrefix="0" xfId="0"/>
    <xf numFmtId="164" fontId="8" fillId="0" borderId="0" pivotButton="0" quotePrefix="0" xfId="0"/>
    <xf numFmtId="0" fontId="5" fillId="0" borderId="0" pivotButton="0" quotePrefix="0" xfId="0"/>
    <xf numFmtId="0" fontId="4" fillId="0" borderId="2" applyAlignment="1" pivotButton="0" quotePrefix="0" xfId="0">
      <alignment vertical="top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8" customWidth="1" min="4" max="4"/>
  </cols>
  <sheetData>
    <row r="1">
      <c r="A1" s="1" t="inlineStr">
        <is>
          <t>Supabase vs Power Platform — D2 Build Scheduler</t>
        </is>
      </c>
    </row>
    <row r="2">
      <c r="A2" s="2" t="inlineStr">
        <is>
          <t>Cost + time comparison — verified pricing as of August 2026 · Stratirus</t>
        </is>
      </c>
    </row>
    <row r="4">
      <c r="A4" s="3" t="inlineStr">
        <is>
          <t>Dimension</t>
        </is>
      </c>
      <c r="B4" s="3" t="inlineStr">
        <is>
          <t>Power Platform</t>
        </is>
      </c>
      <c r="C4" s="3" t="inlineStr">
        <is>
          <t>Supabase + Next.js</t>
        </is>
      </c>
      <c r="D4" s="3" t="inlineStr">
        <is>
          <t>Notes</t>
        </is>
      </c>
    </row>
    <row r="5">
      <c r="A5" s="4" t="inlineStr">
        <is>
          <t>Software cost — monthly</t>
        </is>
      </c>
      <c r="B5" s="5">
        <f>Detail_PP!D14</f>
        <v/>
      </c>
      <c r="C5" s="5">
        <f>Detail_Supa!D18</f>
        <v/>
      </c>
      <c r="D5" s="6" t="inlineStr">
        <is>
          <t>Steady-state at 21 users. See detail sheets.</t>
        </is>
      </c>
    </row>
    <row r="6">
      <c r="A6" s="4" t="inlineStr">
        <is>
          <t>Software cost — Year 1</t>
        </is>
      </c>
      <c r="B6" s="5">
        <f>Detail_PP!D14*12</f>
        <v/>
      </c>
      <c r="C6" s="5">
        <f>Detail_Supa!D18*12</f>
        <v/>
      </c>
      <c r="D6" s="6" t="inlineStr">
        <is>
          <t>Software only, no build.</t>
        </is>
      </c>
    </row>
    <row r="7">
      <c r="A7" s="4" t="inlineStr">
        <is>
          <t>One-time build cost</t>
        </is>
      </c>
      <c r="B7" s="5">
        <f>Detail_PP!E18</f>
        <v/>
      </c>
      <c r="C7" s="5">
        <f>Detail_Supa!E22</f>
        <v/>
      </c>
      <c r="D7" s="6" t="inlineStr">
        <is>
          <t>Dev hours × rate. Yellow cell = your hourly rate.</t>
        </is>
      </c>
    </row>
    <row r="8">
      <c r="A8" s="4" t="inlineStr">
        <is>
          <t>3-year TCO (build + software)</t>
        </is>
      </c>
      <c r="B8" s="5">
        <f>Detail_PP!D14*36+Detail_PP!E18</f>
        <v/>
      </c>
      <c r="C8" s="5">
        <f>Detail_Supa!D18*36+Detail_Supa!E22</f>
        <v/>
      </c>
      <c r="D8" s="6" t="inlineStr">
        <is>
          <t>3-yr software + one-time build.</t>
        </is>
      </c>
    </row>
    <row r="9">
      <c r="A9" s="4" t="inlineStr">
        <is>
          <t>Time to production (weeks)</t>
        </is>
      </c>
      <c r="B9" s="7" t="n">
        <v>13</v>
      </c>
      <c r="C9" s="8">
        <f>Detail_Supa!E26</f>
        <v/>
      </c>
      <c r="D9" s="6" t="inlineStr">
        <is>
          <t>PP is the plan's 13 weeks; Supabase is an estimate.</t>
        </is>
      </c>
    </row>
    <row r="10">
      <c r="A10" s="4" t="inlineStr">
        <is>
          <t>MS-stack integration friction</t>
        </is>
      </c>
      <c r="B10" s="9" t="inlineStr">
        <is>
          <t>None (native)</t>
        </is>
      </c>
      <c r="C10" s="9" t="inlineStr">
        <is>
          <t>Real (Entra + SharePoint bridging)</t>
        </is>
      </c>
      <c r="D10" s="6" t="inlineStr">
        <is>
          <t>D2 is already Entra/SP/Outlook.</t>
        </is>
      </c>
    </row>
    <row r="11">
      <c r="A11" s="4" t="inlineStr">
        <is>
          <t>Post-launch owner</t>
        </is>
      </c>
      <c r="B11" s="9" t="inlineStr">
        <is>
          <t>Stratirus + D2 low-code maker</t>
        </is>
      </c>
      <c r="C11" s="9" t="inlineStr">
        <is>
          <t>Requires Node/Postgres/React dev</t>
        </is>
      </c>
      <c r="D11" s="6" t="inlineStr">
        <is>
          <t>Skills continuity risk.</t>
        </is>
      </c>
    </row>
    <row r="12">
      <c r="A12" s="4" t="inlineStr">
        <is>
          <t>DB-level uniqueness constraint</t>
        </is>
      </c>
      <c r="B12" s="9" t="inlineStr">
        <is>
          <t>Alternate key on Crew+Date</t>
        </is>
      </c>
      <c r="C12" s="9" t="inlineStr">
        <is>
          <t>EXCLUDE constraint on Crew+Date</t>
        </is>
      </c>
      <c r="D12" s="6" t="inlineStr">
        <is>
          <t>Both enforce it structurally. Postgres arguably cleaner.</t>
        </is>
      </c>
    </row>
    <row r="13">
      <c r="A13" s="4" t="inlineStr">
        <is>
          <t>Offline mobile</t>
        </is>
      </c>
      <c r="B13" s="9" t="inlineStr">
        <is>
          <t>Native (documented limits)</t>
        </is>
      </c>
      <c r="C13" s="9" t="inlineStr">
        <is>
          <t>PWA + IndexedDB (custom build)</t>
        </is>
      </c>
      <c r="D13" s="6" t="inlineStr">
        <is>
          <t>Power Apps offline is a shipped product; PWA is code.</t>
        </is>
      </c>
    </row>
    <row r="14">
      <c r="A14" s="4" t="inlineStr">
        <is>
          <t>Vendor lock-in</t>
        </is>
      </c>
      <c r="B14" s="9" t="inlineStr">
        <is>
          <t>High (Microsoft)</t>
        </is>
      </c>
      <c r="C14" s="9" t="inlineStr">
        <is>
          <t>Low (open-source Postgres)</t>
        </is>
      </c>
      <c r="D14" s="6" t="inlineStr">
        <is>
          <t>Supabase is Postgres — portable if you leave.</t>
        </is>
      </c>
    </row>
    <row r="17">
      <c r="A17" s="10" t="inlineStr">
        <is>
          <t>Verdict</t>
        </is>
      </c>
    </row>
    <row r="18" ht="32" customHeight="1">
      <c r="A18" s="11" t="inlineStr">
        <is>
          <t>Power Platform remains the right call for D2 unless there is a strategic reason to leave the MS stack.</t>
        </is>
      </c>
    </row>
    <row r="19" ht="32" customHeight="1">
      <c r="A19" s="11" t="inlineStr">
        <is>
          <t>Supabase saves ~$3,000/yr on software but costs $15k–30k more upfront in dev hours than the low-code Power Platform build.</t>
        </is>
      </c>
    </row>
    <row r="20" ht="32" customHeight="1">
      <c r="A20" s="11" t="inlineStr">
        <is>
          <t>The savings break even around year 3 IF build cost stays low and IF D2 has (or hires) someone who can maintain a Node/Postgres app.</t>
        </is>
      </c>
    </row>
    <row r="21" ht="32" customHeight="1">
      <c r="A21" s="11" t="inlineStr">
        <is>
          <t>For D2's size and staffing, that break-even scenario is unlikely. Recommend Power Platform.</t>
        </is>
      </c>
    </row>
  </sheetData>
  <mergeCells count="4">
    <mergeCell ref="A21:D21"/>
    <mergeCell ref="A18:D18"/>
    <mergeCell ref="A20:D20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Power Platform — cost model</t>
        </is>
      </c>
    </row>
    <row r="2">
      <c r="A2" s="2" t="inlineStr">
        <is>
          <t>Software costs from verified MS pricing. Build hours from the plan §11 estimate.</t>
        </is>
      </c>
    </row>
    <row r="4">
      <c r="A4" s="3" t="inlineStr">
        <is>
          <t>Line</t>
        </is>
      </c>
      <c r="B4" s="3" t="inlineStr">
        <is>
          <t>Users</t>
        </is>
      </c>
      <c r="C4" s="3" t="inlineStr">
        <is>
          <t>Per user / mo</t>
        </is>
      </c>
      <c r="D4" s="3" t="inlineStr">
        <is>
          <t>Monthly</t>
        </is>
      </c>
      <c r="E4" s="3" t="inlineStr">
        <is>
          <t>Build $</t>
        </is>
      </c>
      <c r="F4" s="3" t="inlineStr">
        <is>
          <t>Notes</t>
        </is>
      </c>
    </row>
    <row r="5">
      <c r="A5" s="4" t="inlineStr">
        <is>
          <t>Power Apps Premium — office/PMs</t>
        </is>
      </c>
      <c r="B5" s="12" t="n">
        <v>8</v>
      </c>
      <c r="C5" s="13" t="n">
        <v>20</v>
      </c>
      <c r="D5" s="14">
        <f>B5*C5</f>
        <v/>
      </c>
      <c r="E5" s="15" t="n"/>
      <c r="F5" s="6" t="inlineStr">
        <is>
          <t>MS list price</t>
        </is>
      </c>
    </row>
    <row r="6">
      <c r="A6" s="4" t="inlineStr">
        <is>
          <t>Power Apps Premium — crew leads</t>
        </is>
      </c>
      <c r="B6" s="12" t="n">
        <v>10</v>
      </c>
      <c r="C6" s="13" t="n">
        <v>20</v>
      </c>
      <c r="D6" s="14">
        <f>B6*C6</f>
        <v/>
      </c>
      <c r="E6" s="15" t="n"/>
      <c r="F6" s="6" t="inlineStr">
        <is>
          <t>Per-app retired Jan 2026; Premium is only path</t>
        </is>
      </c>
    </row>
    <row r="7">
      <c r="A7" s="4" t="inlineStr">
        <is>
          <t>Power BI Pro</t>
        </is>
      </c>
      <c r="B7" s="12" t="n">
        <v>3</v>
      </c>
      <c r="C7" s="13" t="n">
        <v>14</v>
      </c>
      <c r="D7" s="14">
        <f>B7*C7</f>
        <v/>
      </c>
      <c r="E7" s="15" t="n"/>
      <c r="F7" s="6" t="inlineStr">
        <is>
          <t>Raised April 2025</t>
        </is>
      </c>
    </row>
    <row r="8">
      <c r="A8" s="4" t="inlineStr">
        <is>
          <t>Managed Environments</t>
        </is>
      </c>
      <c r="B8" s="12" t="n">
        <v>0</v>
      </c>
      <c r="C8" s="13" t="n">
        <v>0</v>
      </c>
      <c r="D8" s="14">
        <f>B8*C8</f>
        <v/>
      </c>
      <c r="E8" s="15" t="n"/>
      <c r="F8" s="6" t="inlineStr">
        <is>
          <t>Included with Premium</t>
        </is>
      </c>
    </row>
    <row r="9">
      <c r="A9" s="4" t="inlineStr">
        <is>
          <t>Dataverse capacity</t>
        </is>
      </c>
      <c r="B9" s="12" t="n">
        <v>0</v>
      </c>
      <c r="C9" s="13" t="n">
        <v>0</v>
      </c>
      <c r="D9" s="14">
        <f>B9*C9</f>
        <v/>
      </c>
      <c r="E9" s="15" t="n"/>
      <c r="F9" s="6" t="inlineStr">
        <is>
          <t>20 GB base + 250 MB/seat included</t>
        </is>
      </c>
    </row>
    <row r="14">
      <c r="A14" s="16" t="inlineStr">
        <is>
          <t>Total monthly software</t>
        </is>
      </c>
      <c r="B14" s="17" t="n"/>
      <c r="C14" s="17" t="n"/>
      <c r="D14" s="18">
        <f>SUM(D5:D9)</f>
        <v/>
      </c>
      <c r="E14" s="17" t="n"/>
      <c r="F14" s="17" t="n"/>
    </row>
    <row r="16">
      <c r="A16" s="19" t="inlineStr">
        <is>
          <t>Build effort</t>
        </is>
      </c>
    </row>
    <row r="17">
      <c r="A17" s="20" t="inlineStr">
        <is>
          <t>Estimated build hours</t>
        </is>
      </c>
      <c r="B17" s="21" t="n">
        <v>260</v>
      </c>
      <c r="F17" s="2" t="inlineStr">
        <is>
          <t>Plan §11: 13 weeks × ~20 low-code hrs/wk. Adjust the yellow cell.</t>
        </is>
      </c>
    </row>
    <row r="18">
      <c r="A18" s="20" t="inlineStr">
        <is>
          <t>Blended low-code rate ($/hr)</t>
        </is>
      </c>
      <c r="B18" s="22" t="n">
        <v>140</v>
      </c>
      <c r="E18" s="23">
        <f>B17*B18</f>
        <v/>
      </c>
      <c r="F18" s="2" t="inlineStr">
        <is>
          <t>Stratirus blended low-code rate. Adjust the yellow cell.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Supabase + Next.js on Vercel — cost model</t>
        </is>
      </c>
    </row>
    <row r="2">
      <c r="A2" s="2" t="inlineStr">
        <is>
          <t>Software costs from verified 2026 pricing. Build hours are a professional-services estimate for equivalent scope.</t>
        </is>
      </c>
    </row>
    <row r="4">
      <c r="A4" s="3" t="inlineStr">
        <is>
          <t>Line</t>
        </is>
      </c>
      <c r="B4" s="3" t="inlineStr">
        <is>
          <t>Qty</t>
        </is>
      </c>
      <c r="C4" s="3" t="inlineStr">
        <is>
          <t>Per unit / mo</t>
        </is>
      </c>
      <c r="D4" s="3" t="inlineStr">
        <is>
          <t>Monthly</t>
        </is>
      </c>
      <c r="E4" s="3" t="inlineStr">
        <is>
          <t>Build $</t>
        </is>
      </c>
      <c r="F4" s="3" t="inlineStr">
        <is>
          <t>Notes</t>
        </is>
      </c>
    </row>
    <row r="5">
      <c r="A5" s="4" t="inlineStr">
        <is>
          <t>Supabase Pro (1 project)</t>
        </is>
      </c>
      <c r="B5" s="12" t="n">
        <v>1</v>
      </c>
      <c r="C5" s="13" t="n">
        <v>25</v>
      </c>
      <c r="D5" s="14">
        <f>B5*C5</f>
        <v/>
      </c>
      <c r="E5" s="15" t="n"/>
      <c r="F5" s="6" t="inlineStr">
        <is>
          <t>Includes Postgres, Auth (50k MAU), Storage 100GB, 8GB DB, Edge Functions, Realtime</t>
        </is>
      </c>
    </row>
    <row r="6">
      <c r="A6" s="4" t="inlineStr">
        <is>
          <t>Supabase compute upgrade — Small</t>
        </is>
      </c>
      <c r="B6" s="12" t="n">
        <v>1</v>
      </c>
      <c r="C6" s="13" t="n">
        <v>5</v>
      </c>
      <c r="D6" s="14">
        <f>B6*C6</f>
        <v/>
      </c>
      <c r="E6" s="15" t="n"/>
      <c r="F6" s="6" t="inlineStr">
        <is>
          <t>Micro ($10 credit included) → Small ($15). Adjust up if load requires.</t>
        </is>
      </c>
    </row>
    <row r="7">
      <c r="A7" s="4" t="inlineStr">
        <is>
          <t>Vercel Pro — developer seats</t>
        </is>
      </c>
      <c r="B7" s="12" t="n">
        <v>2</v>
      </c>
      <c r="C7" s="13" t="n">
        <v>20</v>
      </c>
      <c r="D7" s="14">
        <f>B7*C7</f>
        <v/>
      </c>
      <c r="E7" s="15" t="n"/>
      <c r="F7" s="6" t="inlineStr">
        <is>
          <t>Two seats for dev + backup. Viewer/D2 access is free.</t>
        </is>
      </c>
    </row>
    <row r="8">
      <c r="A8" s="4" t="inlineStr">
        <is>
          <t>Vercel usage overage buffer</t>
        </is>
      </c>
      <c r="B8" s="12" t="n">
        <v>1</v>
      </c>
      <c r="C8" s="13" t="n">
        <v>20</v>
      </c>
      <c r="D8" s="14">
        <f>B8*C8</f>
        <v/>
      </c>
      <c r="E8" s="15" t="n"/>
      <c r="F8" s="6" t="inlineStr">
        <is>
          <t>$20 credit included per seat; extra buffer for bandwidth/compute spikes.</t>
        </is>
      </c>
    </row>
    <row r="9">
      <c r="A9" s="4" t="inlineStr">
        <is>
          <t>Domain + SSL</t>
        </is>
      </c>
      <c r="B9" s="12" t="n">
        <v>1</v>
      </c>
      <c r="C9" s="13" t="n">
        <v>2</v>
      </c>
      <c r="D9" s="14">
        <f>B9*C9</f>
        <v/>
      </c>
      <c r="E9" s="15" t="n"/>
      <c r="F9" s="6" t="inlineStr">
        <is>
          <t>~$15–20/yr amortized</t>
        </is>
      </c>
    </row>
    <row r="10">
      <c r="A10" s="4" t="inlineStr">
        <is>
          <t>Transactional email (SES or Postmark)</t>
        </is>
      </c>
      <c r="B10" s="12" t="n">
        <v>1</v>
      </c>
      <c r="C10" s="13" t="n">
        <v>10</v>
      </c>
      <c r="D10" s="14">
        <f>B10*C10</f>
        <v/>
      </c>
      <c r="E10" s="15" t="n"/>
      <c r="F10" s="6" t="inlineStr">
        <is>
          <t>Sign-off notifications; SES cheaper if AWS in play</t>
        </is>
      </c>
    </row>
    <row r="11">
      <c r="A11" s="4" t="inlineStr">
        <is>
          <t>Monitoring (Sentry Team or similar)</t>
        </is>
      </c>
      <c r="B11" s="12" t="n">
        <v>1</v>
      </c>
      <c r="C11" s="13" t="n">
        <v>26</v>
      </c>
      <c r="D11" s="14">
        <f>B11*C11</f>
        <v/>
      </c>
      <c r="E11" s="15" t="n"/>
      <c r="F11" s="6" t="inlineStr">
        <is>
          <t>Optional; skip for the first 90 days if budget-tight</t>
        </is>
      </c>
    </row>
    <row r="12">
      <c r="A12" s="4" t="inlineStr">
        <is>
          <t>Backups + point-in-time recovery</t>
        </is>
      </c>
      <c r="B12" s="12" t="n">
        <v>1</v>
      </c>
      <c r="C12" s="13" t="n">
        <v>0</v>
      </c>
      <c r="D12" s="14">
        <f>B12*C12</f>
        <v/>
      </c>
      <c r="E12" s="15" t="n"/>
      <c r="F12" s="6" t="inlineStr">
        <is>
          <t>Included in Supabase Pro</t>
        </is>
      </c>
    </row>
    <row r="13">
      <c r="A13" s="4" t="inlineStr">
        <is>
          <t>Analytics / BI (Metabase self-host on Fly.io)</t>
        </is>
      </c>
      <c r="B13" s="12" t="n">
        <v>1</v>
      </c>
      <c r="C13" s="13" t="n">
        <v>12</v>
      </c>
      <c r="D13" s="14">
        <f>B13*C13</f>
        <v/>
      </c>
      <c r="E13" s="15" t="n"/>
      <c r="F13" s="6" t="inlineStr">
        <is>
          <t>Alternative to Power BI. Or use Supabase's built-in reports for free.</t>
        </is>
      </c>
    </row>
    <row r="18">
      <c r="A18" s="16" t="inlineStr">
        <is>
          <t>Total monthly software</t>
        </is>
      </c>
      <c r="B18" s="17" t="n"/>
      <c r="C18" s="17" t="n"/>
      <c r="D18" s="18">
        <f>SUM(D5:D13)</f>
        <v/>
      </c>
      <c r="E18" s="17" t="n"/>
      <c r="F18" s="17" t="n"/>
    </row>
    <row r="20">
      <c r="A20" s="19" t="inlineStr">
        <is>
          <t>Build effort</t>
        </is>
      </c>
    </row>
    <row r="21">
      <c r="A21" s="20" t="inlineStr">
        <is>
          <t>Estimated build hours</t>
        </is>
      </c>
      <c r="B21" s="21" t="n">
        <v>420</v>
      </c>
      <c r="F21" s="2" t="inlineStr">
        <is>
          <t>Full-code build: Next.js UI, Supabase schema + RLS + triggers, PWA offline, auth glue. ~14 wks × 30 hrs/wk.</t>
        </is>
      </c>
    </row>
    <row r="22">
      <c r="A22" s="20" t="inlineStr">
        <is>
          <t>Blended senior dev rate ($/hr)</t>
        </is>
      </c>
      <c r="B22" s="22" t="n">
        <v>185</v>
      </c>
      <c r="E22" s="23">
        <f>B21*B22</f>
        <v/>
      </c>
      <c r="F22" s="2" t="inlineStr">
        <is>
          <t>US senior full-stack rate. Adjust the yellow cell.</t>
        </is>
      </c>
    </row>
    <row r="25">
      <c r="A25" s="19" t="inlineStr">
        <is>
          <t>Timeline estimate</t>
        </is>
      </c>
    </row>
    <row r="26">
      <c r="A26" s="20" t="inlineStr">
        <is>
          <t>Estimated calendar weeks</t>
        </is>
      </c>
      <c r="B26" s="21" t="n">
        <v>14</v>
      </c>
      <c r="E26" s="24">
        <f>B26</f>
        <v/>
      </c>
      <c r="F26" s="2" t="inlineStr">
        <is>
          <t>Ship equivalent scope: office app + crew-lead PWA + reporting. Adjust the yellow cell.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36" customWidth="1" min="4" max="4"/>
  </cols>
  <sheetData>
    <row r="1">
      <c r="A1" s="1" t="inlineStr">
        <is>
          <t>Feature-by-feature comparison</t>
        </is>
      </c>
    </row>
    <row r="2">
      <c r="A2" s="2" t="inlineStr">
        <is>
          <t>Where the two stacks are equivalent, and where one clearly wins.</t>
        </is>
      </c>
    </row>
    <row r="4">
      <c r="A4" s="3" t="inlineStr">
        <is>
          <t>Requirement</t>
        </is>
      </c>
      <c r="B4" s="3" t="inlineStr">
        <is>
          <t>Power Platform</t>
        </is>
      </c>
      <c r="C4" s="3" t="inlineStr">
        <is>
          <t>Supabase + Next.js</t>
        </is>
      </c>
      <c r="D4" s="3" t="inlineStr">
        <is>
          <t>Winner / notes</t>
        </is>
      </c>
    </row>
    <row r="5" ht="36" customHeight="1">
      <c r="A5" s="25" t="inlineStr">
        <is>
          <t>One crew per day uniqueness</t>
        </is>
      </c>
      <c r="B5" s="25" t="inlineStr">
        <is>
          <t>Alternate key on Crew+Date, enforced by Dataverse</t>
        </is>
      </c>
      <c r="C5" s="25" t="inlineStr">
        <is>
          <t>EXCLUDE constraint on (crew_id, date), enforced by Postgres</t>
        </is>
      </c>
      <c r="D5" s="25" t="inlineStr">
        <is>
          <t>Tie. Postgres slightly cleaner semantics.</t>
        </is>
      </c>
    </row>
    <row r="6" ht="36" customHeight="1">
      <c r="A6" s="25" t="inlineStr">
        <is>
          <t>Row-level security</t>
        </is>
      </c>
      <c r="B6" s="25" t="inlineStr">
        <is>
          <t>Column security profiles + business rules</t>
        </is>
      </c>
      <c r="C6" s="25" t="inlineStr">
        <is>
          <t>RLS policies in SQL, per-role</t>
        </is>
      </c>
      <c r="D6" s="25" t="inlineStr">
        <is>
          <t>Tie. Different mental models.</t>
        </is>
      </c>
    </row>
    <row r="7" ht="36" customHeight="1">
      <c r="A7" s="25" t="inlineStr">
        <is>
          <t>Model-driven office app</t>
        </is>
      </c>
      <c r="B7" s="25" t="inlineStr">
        <is>
          <t>Native — auto-generated grids, forms, views</t>
        </is>
      </c>
      <c r="C7" s="25" t="inlineStr">
        <is>
          <t>Custom Next.js UI to build</t>
        </is>
      </c>
      <c r="D7" s="25" t="inlineStr">
        <is>
          <t>PP wins. Big time savings.</t>
        </is>
      </c>
    </row>
    <row r="8" ht="36" customHeight="1">
      <c r="A8" s="25" t="inlineStr">
        <is>
          <t>Canvas / mobile app</t>
        </is>
      </c>
      <c r="B8" s="25" t="inlineStr">
        <is>
          <t>Power Apps Mobile with offline profile</t>
        </is>
      </c>
      <c r="C8" s="25" t="inlineStr">
        <is>
          <t>PWA + IndexedDB, custom sync layer</t>
        </is>
      </c>
      <c r="D8" s="25" t="inlineStr">
        <is>
          <t>PP wins on time. PWA more flexible long-term.</t>
        </is>
      </c>
    </row>
    <row r="9" ht="36" customHeight="1">
      <c r="A9" s="25" t="inlineStr">
        <is>
          <t>Offline sync</t>
        </is>
      </c>
      <c r="B9" s="25" t="inlineStr">
        <is>
          <t>Native, documented limits</t>
        </is>
      </c>
      <c r="C9" s="25" t="inlineStr">
        <is>
          <t>Custom-build with Supabase realtime + local cache</t>
        </is>
      </c>
      <c r="D9" s="25" t="inlineStr">
        <is>
          <t>PP wins. PWA offline is a real engineering task.</t>
        </is>
      </c>
    </row>
    <row r="10" ht="36" customHeight="1">
      <c r="A10" s="25" t="inlineStr">
        <is>
          <t>Scheduled batch jobs</t>
        </is>
      </c>
      <c r="B10" s="25" t="inlineStr">
        <is>
          <t>Power Automate scheduled flows</t>
        </is>
      </c>
      <c r="C10" s="25" t="inlineStr">
        <is>
          <t>Supabase pg_cron + Edge Functions</t>
        </is>
      </c>
      <c r="D10" s="25" t="inlineStr">
        <is>
          <t>Tie.</t>
        </is>
      </c>
    </row>
    <row r="11" ht="36" customHeight="1">
      <c r="A11" s="25" t="inlineStr">
        <is>
          <t>Reporting / BI</t>
        </is>
      </c>
      <c r="B11" s="25" t="inlineStr">
        <is>
          <t>Power BI (native Dataverse connector)</t>
        </is>
      </c>
      <c r="C11" s="25" t="inlineStr">
        <is>
          <t>Metabase, self-hosted, or Supabase built-in views</t>
        </is>
      </c>
      <c r="D11" s="25" t="inlineStr">
        <is>
          <t>PP wins on polish; Supabase cheaper.</t>
        </is>
      </c>
    </row>
    <row r="12" ht="36" customHeight="1">
      <c r="A12" s="25" t="inlineStr">
        <is>
          <t>Entra SSO</t>
        </is>
      </c>
      <c r="B12" s="25" t="inlineStr">
        <is>
          <t>Native</t>
        </is>
      </c>
      <c r="C12" s="25" t="inlineStr">
        <is>
          <t>Custom via Supabase Auth + Azure OIDC</t>
        </is>
      </c>
      <c r="D12" s="25" t="inlineStr">
        <is>
          <t>PP wins. Native identity is 'free' for M365 shops.</t>
        </is>
      </c>
    </row>
    <row r="13" ht="36" customHeight="1">
      <c r="A13" s="25" t="inlineStr">
        <is>
          <t>SharePoint document integration</t>
        </is>
      </c>
      <c r="B13" s="25" t="inlineStr">
        <is>
          <t>Native</t>
        </is>
      </c>
      <c r="C13" s="25" t="inlineStr">
        <is>
          <t>Requires Graph API glue code</t>
        </is>
      </c>
      <c r="D13" s="25" t="inlineStr">
        <is>
          <t>PP wins.</t>
        </is>
      </c>
    </row>
    <row r="14" ht="36" customHeight="1">
      <c r="A14" s="25" t="inlineStr">
        <is>
          <t>Vendor lock-in</t>
        </is>
      </c>
      <c r="B14" s="25" t="inlineStr">
        <is>
          <t>High — leaving means a full rebuild</t>
        </is>
      </c>
      <c r="C14" s="25" t="inlineStr">
        <is>
          <t>Low — Postgres is portable</t>
        </is>
      </c>
      <c r="D14" s="25" t="inlineStr">
        <is>
          <t>Supabase wins on strategic optionality.</t>
        </is>
      </c>
    </row>
    <row r="15" ht="36" customHeight="1">
      <c r="A15" s="25" t="inlineStr">
        <is>
          <t>Post-launch support skills needed</t>
        </is>
      </c>
      <c r="B15" s="25" t="inlineStr">
        <is>
          <t>Low-code maker + M365 admin</t>
        </is>
      </c>
      <c r="C15" s="25" t="inlineStr">
        <is>
          <t>Node.js dev + Postgres DBA + DevOps</t>
        </is>
      </c>
      <c r="D15" s="25" t="inlineStr">
        <is>
          <t>PP wins for D2's size.</t>
        </is>
      </c>
    </row>
    <row r="16" ht="36" customHeight="1">
      <c r="A16" s="25" t="inlineStr">
        <is>
          <t>Extensibility / custom logic</t>
        </is>
      </c>
      <c r="B16" s="25" t="inlineStr">
        <is>
          <t>Power Fx + Automate (limited); C# plugins possible</t>
        </is>
      </c>
      <c r="C16" s="25" t="inlineStr">
        <is>
          <t>TypeScript + SQL (unlimited)</t>
        </is>
      </c>
      <c r="D16" s="25" t="inlineStr">
        <is>
          <t>Supabase wins for anything unusual.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70" customWidth="1" min="3" max="3"/>
  </cols>
  <sheetData>
    <row r="1">
      <c r="A1" s="1" t="inlineStr">
        <is>
          <t>Verified pricing sources</t>
        </is>
      </c>
    </row>
    <row r="2">
      <c r="A2" s="2" t="inlineStr">
        <is>
          <t>Every unit price in Detail_PP and Detail_Supa traces to one of these.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URL / note</t>
        </is>
      </c>
    </row>
    <row r="5" ht="30" customHeight="1">
      <c r="A5" s="4" t="inlineStr">
        <is>
          <t>Supabase Pro base</t>
        </is>
      </c>
      <c r="B5" s="4" t="inlineStr">
        <is>
          <t>$25 / month / project</t>
        </is>
      </c>
      <c r="C5" s="26" t="inlineStr">
        <is>
          <t>supabase.com/pricing — verified Aug 2026</t>
        </is>
      </c>
    </row>
    <row r="6" ht="30" customHeight="1">
      <c r="A6" s="4" t="inlineStr">
        <is>
          <t>Supabase Pro includes</t>
        </is>
      </c>
      <c r="B6" s="4" t="inlineStr">
        <is>
          <t>8GB DB, 100GB storage, 50k MAU, 2M edge fn invocations, $10 compute credit</t>
        </is>
      </c>
      <c r="C6" s="26" t="inlineStr">
        <is>
          <t>Enough for D2's &lt;20MB/yr and &lt;30 users</t>
        </is>
      </c>
    </row>
    <row r="7" ht="30" customHeight="1">
      <c r="A7" s="4" t="inlineStr">
        <is>
          <t>Supabase compute upgrade</t>
        </is>
      </c>
      <c r="B7" s="4" t="inlineStr">
        <is>
          <t>Small +$5/mo, Medium +$50/mo, Large +$100/mo</t>
        </is>
      </c>
      <c r="C7" s="26" t="inlineStr">
        <is>
          <t>Micro ok for D2 volume; Small buys headroom</t>
        </is>
      </c>
    </row>
    <row r="8" ht="30" customHeight="1">
      <c r="A8" s="4" t="inlineStr">
        <is>
          <t>Vercel Pro</t>
        </is>
      </c>
      <c r="B8" s="4" t="inlineStr">
        <is>
          <t>$20 / developer seat / mo</t>
        </is>
      </c>
      <c r="C8" s="26" t="inlineStr">
        <is>
          <t>vercel.com/pricing — viewer seats free</t>
        </is>
      </c>
    </row>
    <row r="9" ht="30" customHeight="1">
      <c r="A9" s="4" t="inlineStr">
        <is>
          <t>Vercel usage</t>
        </is>
      </c>
      <c r="B9" s="4" t="inlineStr">
        <is>
          <t>$0.128/hr compute, $0.15/GB transfer beyond $20 credit</t>
        </is>
      </c>
      <c r="C9" s="26" t="inlineStr">
        <is>
          <t>For D2 volume, $20 credit likely covers it</t>
        </is>
      </c>
    </row>
    <row r="10" ht="30" customHeight="1">
      <c r="A10" s="4" t="inlineStr">
        <is>
          <t>SES transactional email</t>
        </is>
      </c>
      <c r="B10" s="4" t="inlineStr">
        <is>
          <t>$0.10 per 1000 emails</t>
        </is>
      </c>
      <c r="C10" s="26" t="inlineStr">
        <is>
          <t>aws.amazon.com/ses; ~$1/mo at D2 scale</t>
        </is>
      </c>
    </row>
    <row r="11" ht="30" customHeight="1">
      <c r="A11" s="4" t="inlineStr">
        <is>
          <t>Sentry Team</t>
        </is>
      </c>
      <c r="B11" s="4" t="inlineStr">
        <is>
          <t>~$26/mo</t>
        </is>
      </c>
      <c r="C11" s="26" t="inlineStr">
        <is>
          <t>sentry.io/pricing</t>
        </is>
      </c>
    </row>
    <row r="12" ht="30" customHeight="1">
      <c r="A12" s="4" t="inlineStr">
        <is>
          <t>Metabase self-host on Fly.io</t>
        </is>
      </c>
      <c r="B12" s="4" t="inlineStr">
        <is>
          <t>~$12/mo</t>
        </is>
      </c>
      <c r="C12" s="26" t="inlineStr">
        <is>
          <t>fly.io free-tier eligible; Metabase OSS is free</t>
        </is>
      </c>
    </row>
    <row r="13" ht="30" customHeight="1">
      <c r="A13" s="4" t="inlineStr">
        <is>
          <t>Power Apps Premium</t>
        </is>
      </c>
      <c r="B13" s="4" t="inlineStr">
        <is>
          <t>$20/user/mo</t>
        </is>
      </c>
      <c r="C13" s="26" t="inlineStr">
        <is>
          <t>microsoft.com/power-platform/products/power-apps/pricing</t>
        </is>
      </c>
    </row>
    <row r="14" ht="30" customHeight="1">
      <c r="A14" s="4" t="inlineStr">
        <is>
          <t>Power BI Pro</t>
        </is>
      </c>
      <c r="B14" s="4" t="inlineStr">
        <is>
          <t>$14/user/mo (raised Apr 2025)</t>
        </is>
      </c>
      <c r="C14" s="26" t="inlineStr">
        <is>
          <t>powerbi.microsoft.com/en-us/blog</t>
        </is>
      </c>
    </row>
    <row r="15" ht="30" customHeight="1">
      <c r="A15" s="4" t="inlineStr">
        <is>
          <t>Managed Environments</t>
        </is>
      </c>
      <c r="B15" s="4" t="inlineStr">
        <is>
          <t>Included with Premium</t>
        </is>
      </c>
      <c r="C15" s="26" t="inlineStr">
        <is>
          <t>learn.microsoft.com managed-environment-licensing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2026-08-18T16:21:27Z</dcterms:created>
  <dcterms:modified xmlns:dcterms="http://purl.org/dc/terms/" xmlns:xsi="http://www.w3.org/2001/XMLSchema-instance" xsi:type="dcterms:W3CDTF">2026-08-18T16:21:27Z</dcterms:modified>
</cp:coreProperties>
</file>